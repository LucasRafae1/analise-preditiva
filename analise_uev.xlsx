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66C2BEB-E8C9-410C-AE43-B29DA9879D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d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3" i="1" l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I23" i="1"/>
  <c r="E23" i="1"/>
  <c r="E22" i="1"/>
  <c r="E21" i="1"/>
  <c r="E20" i="1"/>
  <c r="I19" i="1"/>
  <c r="E19" i="1"/>
  <c r="I18" i="1"/>
  <c r="E18" i="1"/>
  <c r="I17" i="1"/>
  <c r="E17" i="1"/>
  <c r="I16" i="1"/>
  <c r="E16" i="1"/>
  <c r="E15" i="1"/>
  <c r="I14" i="1"/>
  <c r="E14" i="1"/>
  <c r="E13" i="1"/>
  <c r="E12" i="1"/>
  <c r="E11" i="1"/>
  <c r="J10" i="1"/>
  <c r="I10" i="1"/>
  <c r="E10" i="1"/>
  <c r="J9" i="1"/>
  <c r="I9" i="1"/>
  <c r="E9" i="1"/>
  <c r="J8" i="1"/>
  <c r="I8" i="1"/>
  <c r="E8" i="1"/>
  <c r="J7" i="1"/>
  <c r="I7" i="1"/>
  <c r="E7" i="1"/>
  <c r="J6" i="1"/>
  <c r="I6" i="1"/>
  <c r="E6" i="1"/>
  <c r="J5" i="1"/>
  <c r="I5" i="1"/>
  <c r="E5" i="1"/>
  <c r="E4" i="1"/>
  <c r="I15" i="1" s="1"/>
</calcChain>
</file>

<file path=xl/sharedStrings.xml><?xml version="1.0" encoding="utf-8"?>
<sst xmlns="http://schemas.openxmlformats.org/spreadsheetml/2006/main" count="198" uniqueCount="62">
  <si>
    <t>Base de Dados da Emergy Society — Análise Estatística de UEV</t>
  </si>
  <si>
    <t>Pares válidos: 70  |  Fonte: EmergyDatabase.xlsx</t>
  </si>
  <si>
    <t>#</t>
  </si>
  <si>
    <t>Unidade</t>
  </si>
  <si>
    <t>UEV com L&amp;S
(y)</t>
  </si>
  <si>
    <t>UEV sem L&amp;S
(x)</t>
  </si>
  <si>
    <t>Razão k
(y / x)</t>
  </si>
  <si>
    <t>Interpretação k</t>
  </si>
  <si>
    <t>📊  ESTATÍSTICA DESCRITIVA</t>
  </si>
  <si>
    <t>sej/m2</t>
  </si>
  <si>
    <t>▲ L&amp;S eleva UEV</t>
  </si>
  <si>
    <t>Estatística</t>
  </si>
  <si>
    <t>UEV com L&amp;S (y)</t>
  </si>
  <si>
    <t>UEV sem L&amp;S (x)</t>
  </si>
  <si>
    <t>▼ L&amp;S reduz UEV</t>
  </si>
  <si>
    <t>N pares</t>
  </si>
  <si>
    <t>—</t>
  </si>
  <si>
    <t>≈ Impacto mínimo</t>
  </si>
  <si>
    <t>Mínimo</t>
  </si>
  <si>
    <t>seJ (varia)</t>
  </si>
  <si>
    <t>Máximo</t>
  </si>
  <si>
    <t>Média</t>
  </si>
  <si>
    <t>Mediana</t>
  </si>
  <si>
    <t>Desvio Padrão</t>
  </si>
  <si>
    <t>📐  RAZÃO k = UEV_with / UEV_without</t>
  </si>
  <si>
    <t>Valor k</t>
  </si>
  <si>
    <t>Interpretação</t>
  </si>
  <si>
    <t>seJ/J</t>
  </si>
  <si>
    <t>Mínimo k</t>
  </si>
  <si>
    <t>Maior impacto negativo de L&amp;S</t>
  </si>
  <si>
    <t>Máximo k</t>
  </si>
  <si>
    <t>Maior impacto positivo de L&amp;S</t>
  </si>
  <si>
    <t>seJ/g</t>
  </si>
  <si>
    <t>Mediana k</t>
  </si>
  <si>
    <t>Efeito típico de L&amp;S</t>
  </si>
  <si>
    <t>sej/J</t>
  </si>
  <si>
    <t>Média k</t>
  </si>
  <si>
    <t>Efeito médio de L&amp;S</t>
  </si>
  <si>
    <t>Pares com k &gt; 1</t>
  </si>
  <si>
    <t>L&amp;S eleva UEV</t>
  </si>
  <si>
    <t>Pares com k &lt; 1</t>
  </si>
  <si>
    <t>L&amp;S reduz UEV</t>
  </si>
  <si>
    <t>nan</t>
  </si>
  <si>
    <t>🔗  CORRELAÇÃO DE PEARSON</t>
  </si>
  <si>
    <t>Métrica</t>
  </si>
  <si>
    <t>Valor</t>
  </si>
  <si>
    <t>Coef. Pearson (r)</t>
  </si>
  <si>
    <t>Calculado via CORREL()</t>
  </si>
  <si>
    <t>r² (variância explicada)</t>
  </si>
  <si>
    <t>92.96% da variância</t>
  </si>
  <si>
    <t>p-valor</t>
  </si>
  <si>
    <t>&lt; 0,001</t>
  </si>
  <si>
    <t>Significativo (α = 0,05)</t>
  </si>
  <si>
    <t>sej/kwh</t>
  </si>
  <si>
    <t>Classificação</t>
  </si>
  <si>
    <t>Muito forte</t>
  </si>
  <si>
    <t>|r| ≥ 0,80</t>
  </si>
  <si>
    <t>Direção</t>
  </si>
  <si>
    <t>Positiva</t>
  </si>
  <si>
    <t>r &gt; 0  →  relação direta</t>
  </si>
  <si>
    <t>sej/kWh</t>
  </si>
  <si>
    <t>sej/g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</si>
</sst>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#,##0.0000"/>
    <numFmt numFmtId="166" formatCode="#,##0.000000"/>
  </numFmts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0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A4A7A"/>
        <bgColor rgb="FF444444"/>
      </patternFill>
    </fill>
    <fill>
      <patternFill patternType="solid">
        <fgColor rgb="FFD6E4F0"/>
        <bgColor rgb="FFEBF2FA"/>
      </patternFill>
    </fill>
    <fill>
      <patternFill patternType="solid">
        <fgColor rgb="FFC0561A"/>
        <bgColor rgb="FFFF6600"/>
      </patternFill>
    </fill>
    <fill>
      <patternFill patternType="solid">
        <fgColor rgb="FF1A6B3A"/>
        <bgColor rgb="FF008080"/>
      </patternFill>
    </fill>
    <fill>
      <patternFill patternType="solid">
        <fgColor rgb="FFEBF2FA"/>
        <bgColor rgb="FFE8F5E9"/>
      </patternFill>
    </fill>
    <fill>
      <patternFill patternType="solid">
        <fgColor rgb="FFE8F5E9"/>
        <bgColor rgb="FFEBF2FA"/>
      </patternFill>
    </fill>
    <fill>
      <patternFill patternType="solid">
        <fgColor rgb="FFFFFFFF"/>
        <bgColor rgb="FFEBF2FA"/>
      </patternFill>
    </fill>
    <fill>
      <patternFill patternType="solid">
        <fgColor rgb="FFFFEBEE"/>
        <bgColor rgb="FFEBF2FA"/>
      </patternFill>
    </fill>
    <fill>
      <patternFill patternType="solid">
        <fgColor rgb="FF4A1A7A"/>
        <bgColor rgb="FF660066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right" vertical="center"/>
    </xf>
    <xf numFmtId="165" fontId="4" fillId="7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right" vertical="center"/>
    </xf>
    <xf numFmtId="165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 wrapText="1"/>
    </xf>
    <xf numFmtId="165" fontId="5" fillId="8" borderId="2" xfId="0" applyNumberFormat="1" applyFont="1" applyFill="1" applyBorder="1" applyAlignment="1">
      <alignment horizontal="center" vertical="center" wrapText="1"/>
    </xf>
    <xf numFmtId="166" fontId="5" fillId="8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EBF2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4A7A"/>
      <rgbColor rgb="FF339966"/>
      <rgbColor rgb="FF003300"/>
      <rgbColor rgb="FF333300"/>
      <rgbColor rgb="FFC0561A"/>
      <rgbColor rgb="FF993366"/>
      <rgbColor rgb="FF4A1A7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showGridLines="0" tabSelected="1" zoomScaleNormal="100" workbookViewId="0">
      <pane ySplit="3" topLeftCell="A4" activePane="bottomLeft" state="frozen"/>
      <selection pane="bottomLeft" activeCell="E3" sqref="E3"/>
    </sheetView>
  </sheetViews>
  <sheetFormatPr defaultColWidth="8.7109375" defaultRowHeight="15" x14ac:dyDescent="0.25"/>
  <cols>
    <col min="1" max="1" width="5" customWidth="1"/>
    <col min="2" max="2" width="11" customWidth="1"/>
    <col min="3" max="4" width="16" customWidth="1"/>
    <col min="5" max="5" width="13" customWidth="1"/>
    <col min="6" max="6" width="18" customWidth="1"/>
    <col min="7" max="7" width="2" customWidth="1"/>
    <col min="8" max="8" width="24" customWidth="1"/>
    <col min="9" max="10" width="18" customWidth="1"/>
    <col min="11" max="11" width="22" customWidth="1"/>
  </cols>
  <sheetData>
    <row r="1" spans="1:11" ht="30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8" customHeigh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21.75" customHeight="1" x14ac:dyDescent="0.25">
      <c r="A3" s="1" t="s">
        <v>2</v>
      </c>
      <c r="B3" s="1" t="s">
        <v>3</v>
      </c>
      <c r="C3" s="2" t="s">
        <v>4</v>
      </c>
      <c r="D3" s="2" t="s">
        <v>5</v>
      </c>
      <c r="E3" s="3" t="s">
        <v>6</v>
      </c>
      <c r="F3" s="3" t="s">
        <v>7</v>
      </c>
      <c r="H3" s="27" t="s">
        <v>8</v>
      </c>
      <c r="I3" s="27"/>
      <c r="J3" s="27"/>
      <c r="K3" s="27"/>
    </row>
    <row r="4" spans="1:11" ht="18" customHeight="1" x14ac:dyDescent="0.25">
      <c r="A4" s="4">
        <v>1</v>
      </c>
      <c r="B4" s="4" t="s">
        <v>9</v>
      </c>
      <c r="C4" s="5">
        <v>35100000000000</v>
      </c>
      <c r="D4" s="5">
        <v>28700000000000</v>
      </c>
      <c r="E4" s="6">
        <f t="shared" ref="E4:E35" si="0">C4/D4</f>
        <v>1.2229965156794425</v>
      </c>
      <c r="F4" s="7" t="s">
        <v>10</v>
      </c>
      <c r="H4" s="8" t="s">
        <v>11</v>
      </c>
      <c r="I4" s="9" t="s">
        <v>12</v>
      </c>
      <c r="J4" s="9" t="s">
        <v>13</v>
      </c>
      <c r="K4" s="9" t="s">
        <v>3</v>
      </c>
    </row>
    <row r="5" spans="1:11" ht="18" customHeight="1" x14ac:dyDescent="0.25">
      <c r="A5" s="10">
        <v>2</v>
      </c>
      <c r="B5" s="10" t="s">
        <v>9</v>
      </c>
      <c r="C5" s="11">
        <v>10400000000000</v>
      </c>
      <c r="D5" s="11">
        <v>104000000000000</v>
      </c>
      <c r="E5" s="12">
        <f t="shared" si="0"/>
        <v>0.1</v>
      </c>
      <c r="F5" s="13" t="s">
        <v>14</v>
      </c>
      <c r="H5" s="14" t="s">
        <v>15</v>
      </c>
      <c r="I5" s="15">
        <f>70</f>
        <v>70</v>
      </c>
      <c r="J5" s="15">
        <f>70</f>
        <v>70</v>
      </c>
      <c r="K5" s="16" t="s">
        <v>16</v>
      </c>
    </row>
    <row r="6" spans="1:11" ht="18" customHeight="1" x14ac:dyDescent="0.25">
      <c r="A6" s="4">
        <v>3</v>
      </c>
      <c r="B6" s="4" t="s">
        <v>9</v>
      </c>
      <c r="C6" s="5">
        <v>218000000000000</v>
      </c>
      <c r="D6" s="5">
        <v>215000000000000</v>
      </c>
      <c r="E6" s="17">
        <f t="shared" si="0"/>
        <v>1.0139534883720931</v>
      </c>
      <c r="F6" s="7" t="s">
        <v>17</v>
      </c>
      <c r="H6" s="18" t="s">
        <v>18</v>
      </c>
      <c r="I6" s="19">
        <f>MIN(C4:C73)</f>
        <v>14000</v>
      </c>
      <c r="J6" s="19">
        <f>MIN(D4:D73)</f>
        <v>4260</v>
      </c>
      <c r="K6" s="20" t="s">
        <v>19</v>
      </c>
    </row>
    <row r="7" spans="1:11" ht="18" customHeight="1" x14ac:dyDescent="0.25">
      <c r="A7" s="10">
        <v>4</v>
      </c>
      <c r="B7" s="10" t="s">
        <v>9</v>
      </c>
      <c r="C7" s="11">
        <v>6140000000000</v>
      </c>
      <c r="D7" s="11">
        <v>3970000000000</v>
      </c>
      <c r="E7" s="6">
        <f t="shared" si="0"/>
        <v>1.5465994962216625</v>
      </c>
      <c r="F7" s="13" t="s">
        <v>10</v>
      </c>
      <c r="H7" s="14" t="s">
        <v>20</v>
      </c>
      <c r="I7" s="15">
        <f>MAX(C4:C73)</f>
        <v>232000000000000</v>
      </c>
      <c r="J7" s="15">
        <f>MAX(D4:D73)</f>
        <v>229000000000000</v>
      </c>
      <c r="K7" s="16" t="s">
        <v>19</v>
      </c>
    </row>
    <row r="8" spans="1:11" ht="18" customHeight="1" x14ac:dyDescent="0.25">
      <c r="A8" s="4">
        <v>5</v>
      </c>
      <c r="B8" s="4" t="s">
        <v>9</v>
      </c>
      <c r="C8" s="5">
        <v>9780000000000</v>
      </c>
      <c r="D8" s="5">
        <v>4330000000000</v>
      </c>
      <c r="E8" s="6">
        <f t="shared" si="0"/>
        <v>2.2586605080831408</v>
      </c>
      <c r="F8" s="7" t="s">
        <v>10</v>
      </c>
      <c r="H8" s="18" t="s">
        <v>21</v>
      </c>
      <c r="I8" s="19">
        <f>AVERAGE(C4:C73)</f>
        <v>11251784120465.715</v>
      </c>
      <c r="J8" s="19">
        <f>AVERAGE(D4:D73)</f>
        <v>11823022278622.285</v>
      </c>
      <c r="K8" s="20" t="s">
        <v>19</v>
      </c>
    </row>
    <row r="9" spans="1:11" ht="18" customHeight="1" x14ac:dyDescent="0.25">
      <c r="A9" s="10">
        <v>6</v>
      </c>
      <c r="B9" s="10" t="s">
        <v>9</v>
      </c>
      <c r="C9" s="11">
        <v>61700000000000</v>
      </c>
      <c r="D9" s="11">
        <v>33400000000000</v>
      </c>
      <c r="E9" s="6">
        <f t="shared" si="0"/>
        <v>1.847305389221557</v>
      </c>
      <c r="F9" s="13" t="s">
        <v>10</v>
      </c>
      <c r="H9" s="14" t="s">
        <v>22</v>
      </c>
      <c r="I9" s="15">
        <f>MEDIAN(C4:C73)</f>
        <v>562000</v>
      </c>
      <c r="J9" s="15">
        <f>MEDIAN(D4:D73)</f>
        <v>483000</v>
      </c>
      <c r="K9" s="16" t="s">
        <v>19</v>
      </c>
    </row>
    <row r="10" spans="1:11" ht="18" customHeight="1" x14ac:dyDescent="0.25">
      <c r="A10" s="4">
        <v>7</v>
      </c>
      <c r="B10" s="4" t="s">
        <v>9</v>
      </c>
      <c r="C10" s="5">
        <v>232000000000000</v>
      </c>
      <c r="D10" s="5">
        <v>229000000000000</v>
      </c>
      <c r="E10" s="17">
        <f t="shared" si="0"/>
        <v>1.0131004366812226</v>
      </c>
      <c r="F10" s="7" t="s">
        <v>17</v>
      </c>
      <c r="H10" s="18" t="s">
        <v>23</v>
      </c>
      <c r="I10" s="20">
        <f>STDEV(C4:C73)</f>
        <v>43793928940907.93</v>
      </c>
      <c r="J10" s="20">
        <f>STDEV(D4:D73)</f>
        <v>44403340129442.531</v>
      </c>
      <c r="K10" s="20" t="s">
        <v>19</v>
      </c>
    </row>
    <row r="11" spans="1:11" ht="15.75" customHeight="1" x14ac:dyDescent="0.25">
      <c r="A11" s="10">
        <v>8</v>
      </c>
      <c r="B11" s="10" t="s">
        <v>9</v>
      </c>
      <c r="C11" s="11">
        <v>184000000000000</v>
      </c>
      <c r="D11" s="11">
        <v>184000000000000</v>
      </c>
      <c r="E11" s="21">
        <f t="shared" si="0"/>
        <v>1</v>
      </c>
      <c r="F11" s="13" t="s">
        <v>17</v>
      </c>
    </row>
    <row r="12" spans="1:11" ht="21.75" customHeight="1" x14ac:dyDescent="0.25">
      <c r="A12" s="4">
        <v>9</v>
      </c>
      <c r="B12" s="4" t="s">
        <v>9</v>
      </c>
      <c r="C12" s="5">
        <v>4060000000000</v>
      </c>
      <c r="D12" s="5">
        <v>2580000000000</v>
      </c>
      <c r="E12" s="6">
        <f t="shared" si="0"/>
        <v>1.5736434108527131</v>
      </c>
      <c r="F12" s="7" t="s">
        <v>10</v>
      </c>
      <c r="H12" s="28" t="s">
        <v>24</v>
      </c>
      <c r="I12" s="28"/>
      <c r="J12" s="28"/>
      <c r="K12" s="28"/>
    </row>
    <row r="13" spans="1:11" ht="18" customHeight="1" x14ac:dyDescent="0.25">
      <c r="A13" s="10">
        <v>10</v>
      </c>
      <c r="B13" s="10" t="s">
        <v>9</v>
      </c>
      <c r="C13" s="11">
        <v>26400000000000</v>
      </c>
      <c r="D13" s="11">
        <v>22600000000000</v>
      </c>
      <c r="E13" s="6">
        <f t="shared" si="0"/>
        <v>1.168141592920354</v>
      </c>
      <c r="F13" s="13" t="s">
        <v>10</v>
      </c>
      <c r="H13" s="8" t="s">
        <v>11</v>
      </c>
      <c r="I13" s="9" t="s">
        <v>25</v>
      </c>
      <c r="J13" s="9" t="s">
        <v>26</v>
      </c>
      <c r="K13" s="9"/>
    </row>
    <row r="14" spans="1:11" ht="18" customHeight="1" x14ac:dyDescent="0.25">
      <c r="A14" s="4">
        <v>11</v>
      </c>
      <c r="B14" s="4" t="s">
        <v>27</v>
      </c>
      <c r="C14" s="5">
        <v>293000</v>
      </c>
      <c r="D14" s="5">
        <v>181000</v>
      </c>
      <c r="E14" s="6">
        <f t="shared" si="0"/>
        <v>1.6187845303867403</v>
      </c>
      <c r="F14" s="7" t="s">
        <v>10</v>
      </c>
      <c r="H14" s="14" t="s">
        <v>28</v>
      </c>
      <c r="I14" s="22">
        <f>MIN(E4:E73)</f>
        <v>0.1</v>
      </c>
      <c r="J14" s="16" t="s">
        <v>29</v>
      </c>
      <c r="K14" s="16"/>
    </row>
    <row r="15" spans="1:11" ht="18" customHeight="1" x14ac:dyDescent="0.25">
      <c r="A15" s="10">
        <v>12</v>
      </c>
      <c r="B15" s="10" t="s">
        <v>27</v>
      </c>
      <c r="C15" s="11">
        <v>277000</v>
      </c>
      <c r="D15" s="11">
        <v>167000</v>
      </c>
      <c r="E15" s="6">
        <f t="shared" si="0"/>
        <v>1.658682634730539</v>
      </c>
      <c r="F15" s="13" t="s">
        <v>10</v>
      </c>
      <c r="H15" s="18" t="s">
        <v>30</v>
      </c>
      <c r="I15" s="23">
        <f>MAX(E4:E73)</f>
        <v>10.788990825688073</v>
      </c>
      <c r="J15" s="20" t="s">
        <v>31</v>
      </c>
      <c r="K15" s="20"/>
    </row>
    <row r="16" spans="1:11" ht="18" customHeight="1" x14ac:dyDescent="0.25">
      <c r="A16" s="4">
        <v>13</v>
      </c>
      <c r="B16" s="4" t="s">
        <v>32</v>
      </c>
      <c r="C16" s="5">
        <v>8260000000</v>
      </c>
      <c r="D16" s="5">
        <v>4980000000</v>
      </c>
      <c r="E16" s="6">
        <f t="shared" si="0"/>
        <v>1.6586345381526104</v>
      </c>
      <c r="F16" s="7" t="s">
        <v>10</v>
      </c>
      <c r="H16" s="14" t="s">
        <v>33</v>
      </c>
      <c r="I16" s="22">
        <f>MEDIAN(E4:E73)</f>
        <v>1.1889558316863016</v>
      </c>
      <c r="J16" s="16" t="s">
        <v>34</v>
      </c>
      <c r="K16" s="16"/>
    </row>
    <row r="17" spans="1:11" ht="18" customHeight="1" x14ac:dyDescent="0.25">
      <c r="A17" s="10">
        <v>14</v>
      </c>
      <c r="B17" s="10" t="s">
        <v>35</v>
      </c>
      <c r="C17" s="11">
        <v>21200</v>
      </c>
      <c r="D17" s="11">
        <v>17200</v>
      </c>
      <c r="E17" s="6">
        <f t="shared" si="0"/>
        <v>1.2325581395348837</v>
      </c>
      <c r="F17" s="13" t="s">
        <v>10</v>
      </c>
      <c r="H17" s="18" t="s">
        <v>36</v>
      </c>
      <c r="I17" s="23">
        <f>AVERAGE(E4:E73)</f>
        <v>1.6288744230828902</v>
      </c>
      <c r="J17" s="20" t="s">
        <v>37</v>
      </c>
      <c r="K17" s="20"/>
    </row>
    <row r="18" spans="1:11" ht="18" customHeight="1" x14ac:dyDescent="0.25">
      <c r="A18" s="4">
        <v>15</v>
      </c>
      <c r="B18" s="4" t="s">
        <v>27</v>
      </c>
      <c r="C18" s="5">
        <v>20700</v>
      </c>
      <c r="D18" s="5">
        <v>14300</v>
      </c>
      <c r="E18" s="6">
        <f t="shared" si="0"/>
        <v>1.4475524475524475</v>
      </c>
      <c r="F18" s="7" t="s">
        <v>10</v>
      </c>
      <c r="H18" s="14" t="s">
        <v>38</v>
      </c>
      <c r="I18" s="16">
        <f>COUNTIF(E4:E73,"&gt;1")</f>
        <v>67</v>
      </c>
      <c r="J18" s="16" t="s">
        <v>39</v>
      </c>
      <c r="K18" s="16"/>
    </row>
    <row r="19" spans="1:11" ht="18" customHeight="1" x14ac:dyDescent="0.25">
      <c r="A19" s="10">
        <v>16</v>
      </c>
      <c r="B19" s="10" t="s">
        <v>27</v>
      </c>
      <c r="C19" s="11">
        <v>171000</v>
      </c>
      <c r="D19" s="11">
        <v>162000</v>
      </c>
      <c r="E19" s="6">
        <f t="shared" si="0"/>
        <v>1.0555555555555556</v>
      </c>
      <c r="F19" s="13" t="s">
        <v>10</v>
      </c>
      <c r="H19" s="18" t="s">
        <v>40</v>
      </c>
      <c r="I19" s="20">
        <f>COUNTIF(E4:E73,"&lt;1")</f>
        <v>1</v>
      </c>
      <c r="J19" s="20" t="s">
        <v>41</v>
      </c>
      <c r="K19" s="20"/>
    </row>
    <row r="20" spans="1:11" ht="15.75" customHeight="1" x14ac:dyDescent="0.25">
      <c r="A20" s="4">
        <v>17</v>
      </c>
      <c r="B20" s="4" t="s">
        <v>27</v>
      </c>
      <c r="C20" s="5">
        <v>174000</v>
      </c>
      <c r="D20" s="5">
        <v>129000</v>
      </c>
      <c r="E20" s="6">
        <f t="shared" si="0"/>
        <v>1.3488372093023255</v>
      </c>
      <c r="F20" s="7" t="s">
        <v>10</v>
      </c>
    </row>
    <row r="21" spans="1:11" ht="21.75" customHeight="1" x14ac:dyDescent="0.25">
      <c r="A21" s="10">
        <v>18</v>
      </c>
      <c r="B21" s="10" t="s">
        <v>42</v>
      </c>
      <c r="C21" s="11">
        <v>335000</v>
      </c>
      <c r="D21" s="11">
        <v>144000</v>
      </c>
      <c r="E21" s="6">
        <f t="shared" si="0"/>
        <v>2.3263888888888888</v>
      </c>
      <c r="F21" s="13" t="s">
        <v>10</v>
      </c>
      <c r="H21" s="29" t="s">
        <v>43</v>
      </c>
      <c r="I21" s="29"/>
      <c r="J21" s="29"/>
      <c r="K21" s="29"/>
    </row>
    <row r="22" spans="1:11" ht="18" customHeight="1" x14ac:dyDescent="0.25">
      <c r="A22" s="4">
        <v>19</v>
      </c>
      <c r="B22" s="4" t="s">
        <v>42</v>
      </c>
      <c r="C22" s="5">
        <v>3640000</v>
      </c>
      <c r="D22" s="5">
        <v>946000</v>
      </c>
      <c r="E22" s="6">
        <f t="shared" si="0"/>
        <v>3.8477801268498943</v>
      </c>
      <c r="F22" s="7" t="s">
        <v>10</v>
      </c>
      <c r="H22" s="8" t="s">
        <v>44</v>
      </c>
      <c r="I22" s="9" t="s">
        <v>45</v>
      </c>
      <c r="J22" s="9" t="s">
        <v>26</v>
      </c>
      <c r="K22" s="9"/>
    </row>
    <row r="23" spans="1:11" ht="18" customHeight="1" x14ac:dyDescent="0.25">
      <c r="A23" s="10">
        <v>20</v>
      </c>
      <c r="B23" s="10" t="s">
        <v>27</v>
      </c>
      <c r="C23" s="11">
        <v>5770000</v>
      </c>
      <c r="D23" s="11">
        <v>5720000</v>
      </c>
      <c r="E23" s="21">
        <f t="shared" si="0"/>
        <v>1.0087412587412588</v>
      </c>
      <c r="F23" s="13" t="s">
        <v>17</v>
      </c>
      <c r="H23" s="14" t="s">
        <v>46</v>
      </c>
      <c r="I23" s="22">
        <f>CORREL(D4:D73,C4:C73)</f>
        <v>0.96413926347663814</v>
      </c>
      <c r="J23" s="16" t="s">
        <v>47</v>
      </c>
      <c r="K23" s="16"/>
    </row>
    <row r="24" spans="1:11" ht="18" customHeight="1" x14ac:dyDescent="0.25">
      <c r="A24" s="4">
        <v>21</v>
      </c>
      <c r="B24" s="4" t="s">
        <v>27</v>
      </c>
      <c r="C24" s="5">
        <v>31700</v>
      </c>
      <c r="D24" s="5">
        <v>22700</v>
      </c>
      <c r="E24" s="6">
        <f t="shared" si="0"/>
        <v>1.3964757709251101</v>
      </c>
      <c r="F24" s="7" t="s">
        <v>10</v>
      </c>
      <c r="H24" s="18" t="s">
        <v>48</v>
      </c>
      <c r="I24" s="24">
        <v>0.92956499999999997</v>
      </c>
      <c r="J24" s="20" t="s">
        <v>49</v>
      </c>
      <c r="K24" s="20"/>
    </row>
    <row r="25" spans="1:11" ht="18" customHeight="1" x14ac:dyDescent="0.25">
      <c r="A25" s="10">
        <v>22</v>
      </c>
      <c r="B25" s="10" t="s">
        <v>27</v>
      </c>
      <c r="C25" s="11">
        <v>497000</v>
      </c>
      <c r="D25" s="11">
        <v>356000</v>
      </c>
      <c r="E25" s="6">
        <f t="shared" si="0"/>
        <v>1.396067415730337</v>
      </c>
      <c r="F25" s="13" t="s">
        <v>10</v>
      </c>
      <c r="H25" s="14" t="s">
        <v>50</v>
      </c>
      <c r="I25" s="16" t="s">
        <v>51</v>
      </c>
      <c r="J25" s="16" t="s">
        <v>52</v>
      </c>
      <c r="K25" s="16"/>
    </row>
    <row r="26" spans="1:11" ht="18" customHeight="1" x14ac:dyDescent="0.25">
      <c r="A26" s="4">
        <v>23</v>
      </c>
      <c r="B26" s="4" t="s">
        <v>53</v>
      </c>
      <c r="C26" s="5">
        <v>22800</v>
      </c>
      <c r="D26" s="5">
        <v>22400</v>
      </c>
      <c r="E26" s="17">
        <f t="shared" si="0"/>
        <v>1.0178571428571428</v>
      </c>
      <c r="F26" s="7" t="s">
        <v>17</v>
      </c>
      <c r="H26" s="18" t="s">
        <v>54</v>
      </c>
      <c r="I26" s="20" t="s">
        <v>55</v>
      </c>
      <c r="J26" s="20" t="s">
        <v>56</v>
      </c>
      <c r="K26" s="20"/>
    </row>
    <row r="27" spans="1:11" ht="18" customHeight="1" x14ac:dyDescent="0.25">
      <c r="A27" s="10">
        <v>24</v>
      </c>
      <c r="B27" s="10" t="s">
        <v>53</v>
      </c>
      <c r="C27" s="11">
        <v>85600</v>
      </c>
      <c r="D27" s="11">
        <v>84400</v>
      </c>
      <c r="E27" s="21">
        <f t="shared" si="0"/>
        <v>1.014218009478673</v>
      </c>
      <c r="F27" s="13" t="s">
        <v>17</v>
      </c>
      <c r="H27" s="14" t="s">
        <v>57</v>
      </c>
      <c r="I27" s="16" t="s">
        <v>58</v>
      </c>
      <c r="J27" s="16" t="s">
        <v>59</v>
      </c>
      <c r="K27" s="16"/>
    </row>
    <row r="28" spans="1:11" ht="15.75" customHeight="1" x14ac:dyDescent="0.25">
      <c r="A28" s="4">
        <v>25</v>
      </c>
      <c r="B28" s="4" t="s">
        <v>60</v>
      </c>
      <c r="C28" s="5">
        <v>536000</v>
      </c>
      <c r="D28" s="5">
        <v>528000</v>
      </c>
      <c r="E28" s="17">
        <f t="shared" si="0"/>
        <v>1.0151515151515151</v>
      </c>
      <c r="F28" s="7" t="s">
        <v>17</v>
      </c>
    </row>
    <row r="29" spans="1:11" ht="15.75" customHeight="1" x14ac:dyDescent="0.25">
      <c r="A29" s="10">
        <v>26</v>
      </c>
      <c r="B29" s="10" t="s">
        <v>35</v>
      </c>
      <c r="C29" s="11">
        <v>73900</v>
      </c>
      <c r="D29" s="11">
        <v>73800</v>
      </c>
      <c r="E29" s="21">
        <f t="shared" si="0"/>
        <v>1.0013550135501355</v>
      </c>
      <c r="F29" s="13" t="s">
        <v>17</v>
      </c>
    </row>
    <row r="30" spans="1:11" ht="15.75" customHeight="1" x14ac:dyDescent="0.25">
      <c r="A30" s="4">
        <v>27</v>
      </c>
      <c r="B30" s="4" t="s">
        <v>35</v>
      </c>
      <c r="C30" s="5">
        <v>18900</v>
      </c>
      <c r="D30" s="5">
        <v>18300</v>
      </c>
      <c r="E30" s="17">
        <f t="shared" si="0"/>
        <v>1.0327868852459017</v>
      </c>
      <c r="F30" s="7" t="s">
        <v>17</v>
      </c>
    </row>
    <row r="31" spans="1:11" ht="15.75" customHeight="1" x14ac:dyDescent="0.25">
      <c r="A31" s="10">
        <v>28</v>
      </c>
      <c r="B31" s="10" t="s">
        <v>35</v>
      </c>
      <c r="C31" s="11">
        <v>208000</v>
      </c>
      <c r="D31" s="11">
        <v>207000</v>
      </c>
      <c r="E31" s="21">
        <f t="shared" si="0"/>
        <v>1.0048309178743962</v>
      </c>
      <c r="F31" s="13" t="s">
        <v>17</v>
      </c>
    </row>
    <row r="32" spans="1:11" ht="15.75" customHeight="1" x14ac:dyDescent="0.25">
      <c r="A32" s="4">
        <v>29</v>
      </c>
      <c r="B32" s="4" t="s">
        <v>35</v>
      </c>
      <c r="C32" s="5">
        <v>110000</v>
      </c>
      <c r="D32" s="5">
        <v>84000</v>
      </c>
      <c r="E32" s="6">
        <f t="shared" si="0"/>
        <v>1.3095238095238095</v>
      </c>
      <c r="F32" s="7" t="s">
        <v>10</v>
      </c>
    </row>
    <row r="33" spans="1:6" ht="15.75" customHeight="1" x14ac:dyDescent="0.25">
      <c r="A33" s="10">
        <v>30</v>
      </c>
      <c r="B33" s="10" t="s">
        <v>27</v>
      </c>
      <c r="C33" s="11">
        <v>277000</v>
      </c>
      <c r="D33" s="11">
        <v>167000</v>
      </c>
      <c r="E33" s="6">
        <f t="shared" si="0"/>
        <v>1.658682634730539</v>
      </c>
      <c r="F33" s="13" t="s">
        <v>10</v>
      </c>
    </row>
    <row r="34" spans="1:6" ht="15.75" customHeight="1" x14ac:dyDescent="0.25">
      <c r="A34" s="4">
        <v>31</v>
      </c>
      <c r="B34" s="4" t="s">
        <v>32</v>
      </c>
      <c r="C34" s="5">
        <v>8260000000</v>
      </c>
      <c r="D34" s="5">
        <v>4980000000</v>
      </c>
      <c r="E34" s="6">
        <f t="shared" si="0"/>
        <v>1.6586345381526104</v>
      </c>
      <c r="F34" s="7" t="s">
        <v>10</v>
      </c>
    </row>
    <row r="35" spans="1:6" ht="15.75" customHeight="1" x14ac:dyDescent="0.25">
      <c r="A35" s="10">
        <v>32</v>
      </c>
      <c r="B35" s="10" t="s">
        <v>61</v>
      </c>
      <c r="C35" s="11">
        <v>93400000</v>
      </c>
      <c r="D35" s="11">
        <v>64800000</v>
      </c>
      <c r="E35" s="6">
        <f t="shared" si="0"/>
        <v>1.441358024691358</v>
      </c>
      <c r="F35" s="13" t="s">
        <v>10</v>
      </c>
    </row>
    <row r="36" spans="1:6" ht="15.75" customHeight="1" x14ac:dyDescent="0.25">
      <c r="A36" s="4">
        <v>33</v>
      </c>
      <c r="B36" s="4" t="s">
        <v>27</v>
      </c>
      <c r="C36" s="5">
        <v>147000</v>
      </c>
      <c r="D36" s="5">
        <v>142000</v>
      </c>
      <c r="E36" s="17">
        <f t="shared" ref="E36:E67" si="1">C36/D36</f>
        <v>1.0352112676056338</v>
      </c>
      <c r="F36" s="7" t="s">
        <v>17</v>
      </c>
    </row>
    <row r="37" spans="1:6" ht="15.75" customHeight="1" x14ac:dyDescent="0.25">
      <c r="A37" s="10">
        <v>34</v>
      </c>
      <c r="B37" s="10" t="s">
        <v>27</v>
      </c>
      <c r="C37" s="11">
        <v>14000</v>
      </c>
      <c r="D37" s="11">
        <v>4260</v>
      </c>
      <c r="E37" s="6">
        <f t="shared" si="1"/>
        <v>3.2863849765258215</v>
      </c>
      <c r="F37" s="13" t="s">
        <v>10</v>
      </c>
    </row>
    <row r="38" spans="1:6" ht="15.75" customHeight="1" x14ac:dyDescent="0.25">
      <c r="A38" s="4">
        <v>35</v>
      </c>
      <c r="B38" s="4" t="s">
        <v>27</v>
      </c>
      <c r="C38" s="5">
        <v>121000</v>
      </c>
      <c r="D38" s="5">
        <v>71600</v>
      </c>
      <c r="E38" s="6">
        <f t="shared" si="1"/>
        <v>1.6899441340782122</v>
      </c>
      <c r="F38" s="7" t="s">
        <v>10</v>
      </c>
    </row>
    <row r="39" spans="1:6" ht="15.75" customHeight="1" x14ac:dyDescent="0.25">
      <c r="A39" s="10">
        <v>36</v>
      </c>
      <c r="B39" s="10" t="s">
        <v>27</v>
      </c>
      <c r="C39" s="11">
        <v>89000000</v>
      </c>
      <c r="D39" s="11">
        <v>75100000</v>
      </c>
      <c r="E39" s="6">
        <f t="shared" si="1"/>
        <v>1.18508655126498</v>
      </c>
      <c r="F39" s="13" t="s">
        <v>10</v>
      </c>
    </row>
    <row r="40" spans="1:6" ht="15.75" customHeight="1" x14ac:dyDescent="0.25">
      <c r="A40" s="4">
        <v>37</v>
      </c>
      <c r="B40" s="4" t="s">
        <v>27</v>
      </c>
      <c r="C40" s="5">
        <v>8660000</v>
      </c>
      <c r="D40" s="5">
        <v>7310000</v>
      </c>
      <c r="E40" s="6">
        <f t="shared" si="1"/>
        <v>1.1846785225718195</v>
      </c>
      <c r="F40" s="7" t="s">
        <v>10</v>
      </c>
    </row>
    <row r="41" spans="1:6" ht="15.75" customHeight="1" x14ac:dyDescent="0.25">
      <c r="A41" s="10">
        <v>38</v>
      </c>
      <c r="B41" s="10" t="s">
        <v>27</v>
      </c>
      <c r="C41" s="11">
        <v>62300</v>
      </c>
      <c r="D41" s="11">
        <v>58700</v>
      </c>
      <c r="E41" s="6">
        <f t="shared" si="1"/>
        <v>1.061328790459966</v>
      </c>
      <c r="F41" s="13" t="s">
        <v>10</v>
      </c>
    </row>
    <row r="42" spans="1:6" ht="15.75" customHeight="1" x14ac:dyDescent="0.25">
      <c r="A42" s="4">
        <v>39</v>
      </c>
      <c r="B42" s="4" t="s">
        <v>61</v>
      </c>
      <c r="C42" s="5">
        <v>127000000</v>
      </c>
      <c r="D42" s="5">
        <v>62500000</v>
      </c>
      <c r="E42" s="6">
        <f t="shared" si="1"/>
        <v>2.032</v>
      </c>
      <c r="F42" s="7" t="s">
        <v>10</v>
      </c>
    </row>
    <row r="43" spans="1:6" ht="15.75" customHeight="1" x14ac:dyDescent="0.25">
      <c r="A43" s="10">
        <v>40</v>
      </c>
      <c r="B43" s="10" t="s">
        <v>27</v>
      </c>
      <c r="C43" s="11">
        <v>206000000</v>
      </c>
      <c r="D43" s="11">
        <v>191000000</v>
      </c>
      <c r="E43" s="6">
        <f t="shared" si="1"/>
        <v>1.0785340314136125</v>
      </c>
      <c r="F43" s="13" t="s">
        <v>10</v>
      </c>
    </row>
    <row r="44" spans="1:6" ht="15.75" customHeight="1" x14ac:dyDescent="0.25">
      <c r="A44" s="4">
        <v>41</v>
      </c>
      <c r="B44" s="4" t="s">
        <v>27</v>
      </c>
      <c r="C44" s="5">
        <v>40600000</v>
      </c>
      <c r="D44" s="5">
        <v>37700000</v>
      </c>
      <c r="E44" s="6">
        <f t="shared" si="1"/>
        <v>1.0769230769230769</v>
      </c>
      <c r="F44" s="7" t="s">
        <v>10</v>
      </c>
    </row>
    <row r="45" spans="1:6" ht="15.75" customHeight="1" x14ac:dyDescent="0.25">
      <c r="A45" s="10">
        <v>42</v>
      </c>
      <c r="B45" s="10" t="s">
        <v>27</v>
      </c>
      <c r="C45" s="11">
        <v>170000</v>
      </c>
      <c r="D45" s="11">
        <v>16000</v>
      </c>
      <c r="E45" s="6">
        <f t="shared" si="1"/>
        <v>10.625</v>
      </c>
      <c r="F45" s="13" t="s">
        <v>10</v>
      </c>
    </row>
    <row r="46" spans="1:6" ht="15.75" customHeight="1" x14ac:dyDescent="0.25">
      <c r="A46" s="4">
        <v>43</v>
      </c>
      <c r="B46" s="4" t="s">
        <v>61</v>
      </c>
      <c r="C46" s="5">
        <v>122000000</v>
      </c>
      <c r="D46" s="5">
        <v>116000000</v>
      </c>
      <c r="E46" s="6">
        <f t="shared" si="1"/>
        <v>1.0517241379310345</v>
      </c>
      <c r="F46" s="7" t="s">
        <v>10</v>
      </c>
    </row>
    <row r="47" spans="1:6" ht="15.75" customHeight="1" x14ac:dyDescent="0.25">
      <c r="A47" s="10">
        <v>44</v>
      </c>
      <c r="B47" s="10" t="s">
        <v>61</v>
      </c>
      <c r="C47" s="11">
        <v>183000000</v>
      </c>
      <c r="D47" s="11">
        <v>181000000</v>
      </c>
      <c r="E47" s="21">
        <f t="shared" si="1"/>
        <v>1.011049723756906</v>
      </c>
      <c r="F47" s="13" t="s">
        <v>17</v>
      </c>
    </row>
    <row r="48" spans="1:6" ht="15.75" customHeight="1" x14ac:dyDescent="0.25">
      <c r="A48" s="4">
        <v>45</v>
      </c>
      <c r="B48" s="4" t="s">
        <v>61</v>
      </c>
      <c r="C48" s="5">
        <v>158000000</v>
      </c>
      <c r="D48" s="5">
        <v>156000000</v>
      </c>
      <c r="E48" s="17">
        <f t="shared" si="1"/>
        <v>1.0128205128205128</v>
      </c>
      <c r="F48" s="7" t="s">
        <v>17</v>
      </c>
    </row>
    <row r="49" spans="1:6" ht="15.75" customHeight="1" x14ac:dyDescent="0.25">
      <c r="A49" s="10">
        <v>46</v>
      </c>
      <c r="B49" s="10" t="s">
        <v>61</v>
      </c>
      <c r="C49" s="11">
        <v>154000000</v>
      </c>
      <c r="D49" s="11">
        <v>152000000</v>
      </c>
      <c r="E49" s="21">
        <f t="shared" si="1"/>
        <v>1.013157894736842</v>
      </c>
      <c r="F49" s="13" t="s">
        <v>17</v>
      </c>
    </row>
    <row r="50" spans="1:6" ht="15.75" customHeight="1" x14ac:dyDescent="0.25">
      <c r="A50" s="4">
        <v>47</v>
      </c>
      <c r="B50" s="4" t="s">
        <v>35</v>
      </c>
      <c r="C50" s="5">
        <v>307000</v>
      </c>
      <c r="D50" s="5">
        <v>307000</v>
      </c>
      <c r="E50" s="17">
        <f t="shared" si="1"/>
        <v>1</v>
      </c>
      <c r="F50" s="7" t="s">
        <v>17</v>
      </c>
    </row>
    <row r="51" spans="1:6" ht="15.75" customHeight="1" x14ac:dyDescent="0.25">
      <c r="A51" s="10">
        <v>48</v>
      </c>
      <c r="B51" s="10" t="s">
        <v>27</v>
      </c>
      <c r="C51" s="11">
        <v>200000</v>
      </c>
      <c r="D51" s="11">
        <v>187000</v>
      </c>
      <c r="E51" s="6">
        <f t="shared" si="1"/>
        <v>1.0695187165775402</v>
      </c>
      <c r="F51" s="13" t="s">
        <v>10</v>
      </c>
    </row>
    <row r="52" spans="1:6" ht="15.75" customHeight="1" x14ac:dyDescent="0.25">
      <c r="A52" s="4">
        <v>49</v>
      </c>
      <c r="B52" s="4" t="s">
        <v>27</v>
      </c>
      <c r="C52" s="5">
        <v>666000</v>
      </c>
      <c r="D52" s="5">
        <v>664000</v>
      </c>
      <c r="E52" s="17">
        <f t="shared" si="1"/>
        <v>1.0030120481927711</v>
      </c>
      <c r="F52" s="7" t="s">
        <v>17</v>
      </c>
    </row>
    <row r="53" spans="1:6" ht="15.75" customHeight="1" x14ac:dyDescent="0.25">
      <c r="A53" s="10">
        <v>50</v>
      </c>
      <c r="B53" s="10" t="s">
        <v>61</v>
      </c>
      <c r="C53" s="11">
        <v>4090000000</v>
      </c>
      <c r="D53" s="11">
        <v>2950000000</v>
      </c>
      <c r="E53" s="6">
        <f t="shared" si="1"/>
        <v>1.3864406779661016</v>
      </c>
      <c r="F53" s="13" t="s">
        <v>10</v>
      </c>
    </row>
    <row r="54" spans="1:6" ht="15.75" customHeight="1" x14ac:dyDescent="0.25">
      <c r="A54" s="4">
        <v>51</v>
      </c>
      <c r="B54" s="4" t="s">
        <v>61</v>
      </c>
      <c r="C54" s="5">
        <v>4570000000</v>
      </c>
      <c r="D54" s="5">
        <v>3480000000</v>
      </c>
      <c r="E54" s="6">
        <f t="shared" si="1"/>
        <v>1.3132183908045978</v>
      </c>
      <c r="F54" s="7" t="s">
        <v>10</v>
      </c>
    </row>
    <row r="55" spans="1:6" ht="15.75" customHeight="1" x14ac:dyDescent="0.25">
      <c r="A55" s="10">
        <v>52</v>
      </c>
      <c r="B55" s="10" t="s">
        <v>61</v>
      </c>
      <c r="C55" s="11">
        <v>5570000000</v>
      </c>
      <c r="D55" s="11">
        <v>4480000000</v>
      </c>
      <c r="E55" s="6">
        <f t="shared" si="1"/>
        <v>1.2433035714285714</v>
      </c>
      <c r="F55" s="13" t="s">
        <v>10</v>
      </c>
    </row>
    <row r="56" spans="1:6" ht="15.75" customHeight="1" x14ac:dyDescent="0.25">
      <c r="A56" s="4">
        <v>53</v>
      </c>
      <c r="B56" s="4" t="s">
        <v>32</v>
      </c>
      <c r="C56" s="5">
        <v>4300000000</v>
      </c>
      <c r="D56" s="5">
        <v>3690000000</v>
      </c>
      <c r="E56" s="6">
        <f t="shared" si="1"/>
        <v>1.1653116531165311</v>
      </c>
      <c r="F56" s="7" t="s">
        <v>10</v>
      </c>
    </row>
    <row r="57" spans="1:6" ht="15.75" customHeight="1" x14ac:dyDescent="0.25">
      <c r="A57" s="10">
        <v>54</v>
      </c>
      <c r="B57" s="10" t="s">
        <v>27</v>
      </c>
      <c r="C57" s="11">
        <v>606000</v>
      </c>
      <c r="D57" s="11">
        <v>520000</v>
      </c>
      <c r="E57" s="6">
        <f t="shared" si="1"/>
        <v>1.1653846153846155</v>
      </c>
      <c r="F57" s="13" t="s">
        <v>10</v>
      </c>
    </row>
    <row r="58" spans="1:6" ht="15.75" customHeight="1" x14ac:dyDescent="0.25">
      <c r="A58" s="4">
        <v>55</v>
      </c>
      <c r="B58" s="4" t="s">
        <v>27</v>
      </c>
      <c r="C58" s="5">
        <v>171000</v>
      </c>
      <c r="D58" s="5">
        <v>85100</v>
      </c>
      <c r="E58" s="6">
        <f t="shared" si="1"/>
        <v>2.009400705052879</v>
      </c>
      <c r="F58" s="7" t="s">
        <v>10</v>
      </c>
    </row>
    <row r="59" spans="1:6" ht="15.75" customHeight="1" x14ac:dyDescent="0.25">
      <c r="A59" s="10">
        <v>56</v>
      </c>
      <c r="B59" s="10" t="s">
        <v>32</v>
      </c>
      <c r="C59" s="11">
        <v>1220000000</v>
      </c>
      <c r="D59" s="11">
        <v>604000000</v>
      </c>
      <c r="E59" s="6">
        <f t="shared" si="1"/>
        <v>2.0198675496688741</v>
      </c>
      <c r="F59" s="13" t="s">
        <v>10</v>
      </c>
    </row>
    <row r="60" spans="1:6" ht="15.75" customHeight="1" x14ac:dyDescent="0.25">
      <c r="A60" s="4">
        <v>57</v>
      </c>
      <c r="B60" s="4" t="s">
        <v>27</v>
      </c>
      <c r="C60" s="5">
        <v>532000</v>
      </c>
      <c r="D60" s="5">
        <v>446000</v>
      </c>
      <c r="E60" s="6">
        <f t="shared" si="1"/>
        <v>1.1928251121076232</v>
      </c>
      <c r="F60" s="7" t="s">
        <v>10</v>
      </c>
    </row>
    <row r="61" spans="1:6" ht="15.75" customHeight="1" x14ac:dyDescent="0.25">
      <c r="A61" s="10">
        <v>58</v>
      </c>
      <c r="B61" s="10" t="s">
        <v>32</v>
      </c>
      <c r="C61" s="11">
        <v>3780000000</v>
      </c>
      <c r="D61" s="11">
        <v>3160000000</v>
      </c>
      <c r="E61" s="6">
        <f t="shared" si="1"/>
        <v>1.1962025316455696</v>
      </c>
      <c r="F61" s="13" t="s">
        <v>10</v>
      </c>
    </row>
    <row r="62" spans="1:6" ht="15.75" customHeight="1" x14ac:dyDescent="0.25">
      <c r="A62" s="4">
        <v>59</v>
      </c>
      <c r="B62" s="4" t="s">
        <v>35</v>
      </c>
      <c r="C62" s="5">
        <v>74900</v>
      </c>
      <c r="D62" s="5">
        <v>69900</v>
      </c>
      <c r="E62" s="6">
        <f t="shared" si="1"/>
        <v>1.0715307582260372</v>
      </c>
      <c r="F62" s="7" t="s">
        <v>10</v>
      </c>
    </row>
    <row r="63" spans="1:6" ht="15.75" customHeight="1" x14ac:dyDescent="0.25">
      <c r="A63" s="10">
        <v>60</v>
      </c>
      <c r="B63" s="10" t="s">
        <v>35</v>
      </c>
      <c r="C63" s="11">
        <v>56900</v>
      </c>
      <c r="D63" s="11">
        <v>52500</v>
      </c>
      <c r="E63" s="6">
        <f t="shared" si="1"/>
        <v>1.0838095238095238</v>
      </c>
      <c r="F63" s="13" t="s">
        <v>10</v>
      </c>
    </row>
    <row r="64" spans="1:6" ht="15.75" customHeight="1" x14ac:dyDescent="0.25">
      <c r="A64" s="4">
        <v>61</v>
      </c>
      <c r="B64" s="4" t="s">
        <v>35</v>
      </c>
      <c r="C64" s="5">
        <v>65300</v>
      </c>
      <c r="D64" s="5">
        <v>60800</v>
      </c>
      <c r="E64" s="6">
        <f t="shared" si="1"/>
        <v>1.0740131578947369</v>
      </c>
      <c r="F64" s="7" t="s">
        <v>10</v>
      </c>
    </row>
    <row r="65" spans="1:6" ht="15.75" customHeight="1" x14ac:dyDescent="0.25">
      <c r="A65" s="10">
        <v>62</v>
      </c>
      <c r="B65" s="10" t="s">
        <v>35</v>
      </c>
      <c r="C65" s="11">
        <v>588000</v>
      </c>
      <c r="D65" s="11">
        <v>54500</v>
      </c>
      <c r="E65" s="6">
        <f t="shared" si="1"/>
        <v>10.788990825688073</v>
      </c>
      <c r="F65" s="13" t="s">
        <v>10</v>
      </c>
    </row>
    <row r="66" spans="1:6" ht="15.75" customHeight="1" x14ac:dyDescent="0.25">
      <c r="A66" s="4">
        <v>63</v>
      </c>
      <c r="B66" s="4" t="s">
        <v>35</v>
      </c>
      <c r="C66" s="5">
        <v>39700</v>
      </c>
      <c r="D66" s="5">
        <v>34800</v>
      </c>
      <c r="E66" s="6">
        <f t="shared" si="1"/>
        <v>1.1408045977011494</v>
      </c>
      <c r="F66" s="7" t="s">
        <v>10</v>
      </c>
    </row>
    <row r="67" spans="1:6" ht="15.75" customHeight="1" x14ac:dyDescent="0.25">
      <c r="A67" s="10">
        <v>64</v>
      </c>
      <c r="B67" s="10" t="s">
        <v>35</v>
      </c>
      <c r="C67" s="11">
        <v>46000</v>
      </c>
      <c r="D67" s="11">
        <v>42200</v>
      </c>
      <c r="E67" s="6">
        <f t="shared" si="1"/>
        <v>1.0900473933649288</v>
      </c>
      <c r="F67" s="13" t="s">
        <v>10</v>
      </c>
    </row>
    <row r="68" spans="1:6" ht="15.75" customHeight="1" x14ac:dyDescent="0.25">
      <c r="A68" s="4">
        <v>65</v>
      </c>
      <c r="B68" s="4" t="s">
        <v>61</v>
      </c>
      <c r="C68" s="5">
        <v>16600</v>
      </c>
      <c r="D68" s="5">
        <v>16000</v>
      </c>
      <c r="E68" s="17">
        <f t="shared" ref="E68:E73" si="2">C68/D68</f>
        <v>1.0375000000000001</v>
      </c>
      <c r="F68" s="7" t="s">
        <v>17</v>
      </c>
    </row>
    <row r="69" spans="1:6" ht="15.75" customHeight="1" x14ac:dyDescent="0.25">
      <c r="A69" s="10">
        <v>66</v>
      </c>
      <c r="B69" s="10" t="s">
        <v>32</v>
      </c>
      <c r="C69" s="11">
        <v>1820000000</v>
      </c>
      <c r="D69" s="11">
        <v>1090000000</v>
      </c>
      <c r="E69" s="6">
        <f t="shared" si="2"/>
        <v>1.6697247706422018</v>
      </c>
      <c r="F69" s="13" t="s">
        <v>10</v>
      </c>
    </row>
    <row r="70" spans="1:6" ht="15.75" customHeight="1" x14ac:dyDescent="0.25">
      <c r="A70" s="4">
        <v>67</v>
      </c>
      <c r="B70" s="4" t="s">
        <v>27</v>
      </c>
      <c r="C70" s="5">
        <v>132000</v>
      </c>
      <c r="D70" s="5">
        <v>79100</v>
      </c>
      <c r="E70" s="6">
        <f t="shared" si="2"/>
        <v>1.6687737041719342</v>
      </c>
      <c r="F70" s="7" t="s">
        <v>10</v>
      </c>
    </row>
    <row r="71" spans="1:6" ht="15.75" customHeight="1" x14ac:dyDescent="0.25">
      <c r="A71" s="10">
        <v>68</v>
      </c>
      <c r="B71" s="10" t="s">
        <v>32</v>
      </c>
      <c r="C71" s="11">
        <v>1820000000</v>
      </c>
      <c r="D71" s="11">
        <v>1090000000</v>
      </c>
      <c r="E71" s="6">
        <f t="shared" si="2"/>
        <v>1.6697247706422018</v>
      </c>
      <c r="F71" s="13" t="s">
        <v>10</v>
      </c>
    </row>
    <row r="72" spans="1:6" ht="15.75" customHeight="1" x14ac:dyDescent="0.25">
      <c r="A72" s="4">
        <v>69</v>
      </c>
      <c r="B72" s="4" t="s">
        <v>27</v>
      </c>
      <c r="C72" s="5">
        <v>132000</v>
      </c>
      <c r="D72" s="5">
        <v>79100</v>
      </c>
      <c r="E72" s="6">
        <f t="shared" si="2"/>
        <v>1.6687737041719342</v>
      </c>
      <c r="F72" s="7" t="s">
        <v>10</v>
      </c>
    </row>
    <row r="73" spans="1:6" ht="15.75" customHeight="1" x14ac:dyDescent="0.25">
      <c r="A73" s="10">
        <v>70</v>
      </c>
      <c r="B73" s="10" t="s">
        <v>27</v>
      </c>
      <c r="C73" s="11">
        <v>62100</v>
      </c>
      <c r="D73" s="11">
        <v>58900</v>
      </c>
      <c r="E73" s="6">
        <f t="shared" si="2"/>
        <v>1.0543293718166384</v>
      </c>
      <c r="F73" s="13" t="s">
        <v>10</v>
      </c>
    </row>
  </sheetData>
  <mergeCells count="5">
    <mergeCell ref="A1:K1"/>
    <mergeCell ref="A2:K2"/>
    <mergeCell ref="H3:K3"/>
    <mergeCell ref="H12:K12"/>
    <mergeCell ref="H21:K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Rafael</cp:lastModifiedBy>
  <cp:revision>0</cp:revision>
  <dcterms:created xsi:type="dcterms:W3CDTF">2026-02-24T23:29:08Z</dcterms:created>
  <dcterms:modified xsi:type="dcterms:W3CDTF">2026-02-24T23:36:05Z</dcterms:modified>
  <dc:language>en-US</dc:language>
</cp:coreProperties>
</file>